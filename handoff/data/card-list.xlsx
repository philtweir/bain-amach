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ounds" sheetId="2" state="visible" r:id="rId4"/>
    <sheet name="Verbs" sheetId="3" state="visible" r:id="rId5"/>
    <sheet name="Particles" sheetId="4" state="visible" r:id="rId6"/>
    <sheet name="Meaning car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<sst xmlns="http://schemas.openxmlformats.org/spreadsheetml/2006/main" count="433" uniqueCount="171">
  <si>
    <t xml:space="preserve">Compound verb card game: card list</t>
  </si>
  <si>
    <t xml:space="preserve">Draft for vetting. Blue numbers are copy counts you can change; totals update. Yellow 'Your check' cells are for your Ulster review (write OK, or the corrected form, e.g. 'breathnaigh ar').</t>
  </si>
  <si>
    <t xml:space="preserve">Card type</t>
  </si>
  <si>
    <t xml:space="preserve">Cards</t>
  </si>
  <si>
    <t xml:space="preserve">Where they live</t>
  </si>
  <si>
    <t xml:space="preserve">Notes</t>
  </si>
  <si>
    <t xml:space="preserve">Verbs</t>
  </si>
  <si>
    <t xml:space="preserve">Hands (dealt and drawn)</t>
  </si>
  <si>
    <t xml:space="preserve">Copies ≈ half the number of compounds per verb, minimum 1.</t>
  </si>
  <si>
    <t xml:space="preserve">Particles</t>
  </si>
  <si>
    <t xml:space="preserve">River: 5 face-up piles</t>
  </si>
  <si>
    <t xml:space="preserve">Copies = number of compounds using the particle. Never in hands.</t>
  </si>
  <si>
    <t xml:space="preserve">Meaning cards</t>
  </si>
  <si>
    <t xml:space="preserve">Meaning pile, 1 face-up</t>
  </si>
  <si>
    <t xml:space="preserve">Three meanings per card, answers printed. Each meaning appears on 3 cards.</t>
  </si>
  <si>
    <t xml:space="preserve">Wildcards</t>
  </si>
  <si>
    <t xml:space="preserve">Hands (shuffled into main pile)</t>
  </si>
  <si>
    <t xml:space="preserve">Stand in for any particle in a full line. Stay where they are laid.</t>
  </si>
  <si>
    <t xml:space="preserve">Total cards</t>
  </si>
  <si>
    <t xml:space="preserve">Setup</t>
  </si>
  <si>
    <t xml:space="preserve">Starter verbs on the table</t>
  </si>
  <si>
    <t xml:space="preserve">Drawn from the verb cards</t>
  </si>
  <si>
    <t xml:space="preserve">Hand size, 2 players</t>
  </si>
  <si>
    <t xml:space="preserve">3 of them meaning cards</t>
  </si>
  <si>
    <t xml:space="preserve">Hand size, 3 players</t>
  </si>
  <si>
    <t xml:space="preserve">Hand size, 4 players</t>
  </si>
  <si>
    <t xml:space="preserve">Particle river piles</t>
  </si>
  <si>
    <t xml:space="preserve">3 is a bit thin; 7 adds nothing</t>
  </si>
  <si>
    <t xml:space="preserve">Cost of a verb laid on its own</t>
  </si>
  <si>
    <t xml:space="preserve">Cards drawn. A verb inside a full line is free.</t>
  </si>
  <si>
    <t xml:space="preserve">Rules in brief</t>
  </si>
  <si>
    <t xml:space="preserve">1. A play is either one verb on its own (draw 2), or a full line: meaning from your hand + verb (on the table or from your hand) + its particles from the river tops. Wildcards from your hand can stand in for particles.</t>
  </si>
  <si>
    <t xml:space="preserve">2. A full line may run through a particle already on the table (verb on one side, meaning on the other).</t>
  </si>
  <si>
    <t xml:space="preserve">3. Cards are directional: each card points at the card it attaches to, and only has to fit in that direction.</t>
  </si>
  <si>
    <t xml:space="preserve">4. Stall (nobody can play): everyone draws 1 (from the meaning pile if holding fewer than 2 meanings); each river pile moves its top card to the bottom.</t>
  </si>
  <si>
    <t xml:space="preserve">5. You may swap a meaning card for the face-up one.</t>
  </si>
  <si>
    <t xml:space="preserve">6. First to empty their hand wins; otherwise fewest cards when nothing more can be played.</t>
  </si>
  <si>
    <t xml:space="preserve">Verb</t>
  </si>
  <si>
    <t xml:space="preserve">Particle(s)</t>
  </si>
  <si>
    <t xml:space="preserve">Meaning</t>
  </si>
  <si>
    <t xml:space="preserve">Parts</t>
  </si>
  <si>
    <t xml:space="preserve">My uncertainty</t>
  </si>
  <si>
    <t xml:space="preserve">Your check</t>
  </si>
  <si>
    <t xml:space="preserve">bain</t>
  </si>
  <si>
    <t xml:space="preserve">amach</t>
  </si>
  <si>
    <t xml:space="preserve">REACH</t>
  </si>
  <si>
    <t xml:space="preserve">as</t>
  </si>
  <si>
    <t xml:space="preserve">GET FROM</t>
  </si>
  <si>
    <t xml:space="preserve">de</t>
  </si>
  <si>
    <t xml:space="preserve">TAKE OFF</t>
  </si>
  <si>
    <t xml:space="preserve">le</t>
  </si>
  <si>
    <t xml:space="preserve">CONCERN</t>
  </si>
  <si>
    <t xml:space="preserve">CONCERN / touch — pick one gloss</t>
  </si>
  <si>
    <t xml:space="preserve">cuir</t>
  </si>
  <si>
    <t xml:space="preserve">THROW UP</t>
  </si>
  <si>
    <t xml:space="preserve">THROW UP (vomit) — check register for learners</t>
  </si>
  <si>
    <t xml:space="preserve">ar</t>
  </si>
  <si>
    <t xml:space="preserve">PUT ON</t>
  </si>
  <si>
    <t xml:space="preserve">isteach ar</t>
  </si>
  <si>
    <t xml:space="preserve">APPLY FOR</t>
  </si>
  <si>
    <t xml:space="preserve">suas le</t>
  </si>
  <si>
    <t xml:space="preserve">PUT UP WITH</t>
  </si>
  <si>
    <t xml:space="preserve">síos ar</t>
  </si>
  <si>
    <t xml:space="preserve">DESCRIBE</t>
  </si>
  <si>
    <t xml:space="preserve">as do</t>
  </si>
  <si>
    <t xml:space="preserve">DISTURB</t>
  </si>
  <si>
    <t xml:space="preserve">DISTURB / put out — check</t>
  </si>
  <si>
    <t xml:space="preserve">tabhair</t>
  </si>
  <si>
    <t xml:space="preserve">suas</t>
  </si>
  <si>
    <t xml:space="preserve">GIVE UP</t>
  </si>
  <si>
    <t xml:space="preserve">faoi</t>
  </si>
  <si>
    <t xml:space="preserve">ATTEMPT</t>
  </si>
  <si>
    <t xml:space="preserve">amach do</t>
  </si>
  <si>
    <t xml:space="preserve">SCOLD</t>
  </si>
  <si>
    <t xml:space="preserve">MAKE (SOMEONE)</t>
  </si>
  <si>
    <t xml:space="preserve">MAKE (SOMEONE) / also 'call' — pick one gloss</t>
  </si>
  <si>
    <t xml:space="preserve">déan</t>
  </si>
  <si>
    <t xml:space="preserve">FIGURE OUT</t>
  </si>
  <si>
    <t xml:space="preserve">HEAD FOR</t>
  </si>
  <si>
    <t xml:space="preserve">éirigh</t>
  </si>
  <si>
    <t xml:space="preserve">SUCCEED</t>
  </si>
  <si>
    <t xml:space="preserve">REBEL</t>
  </si>
  <si>
    <t xml:space="preserve">REBEL — check</t>
  </si>
  <si>
    <t xml:space="preserve">tit</t>
  </si>
  <si>
    <t xml:space="preserve">HAPPEN</t>
  </si>
  <si>
    <t xml:space="preserve">tóg</t>
  </si>
  <si>
    <t xml:space="preserve">PICK UP</t>
  </si>
  <si>
    <t xml:space="preserve">HOLD AGAINST</t>
  </si>
  <si>
    <t xml:space="preserve">HOLD AGAINST: ná tóg orm é — check</t>
  </si>
  <si>
    <t xml:space="preserve">coinnigh</t>
  </si>
  <si>
    <t xml:space="preserve">KEEP GOING</t>
  </si>
  <si>
    <t xml:space="preserve">KEEP UP</t>
  </si>
  <si>
    <t xml:space="preserve">KEEP UP — check sense</t>
  </si>
  <si>
    <t xml:space="preserve">fan</t>
  </si>
  <si>
    <t xml:space="preserve">WAIT FOR</t>
  </si>
  <si>
    <t xml:space="preserve">amach ó</t>
  </si>
  <si>
    <t xml:space="preserve">STAY AWAY FROM</t>
  </si>
  <si>
    <t xml:space="preserve">STAY AWAY FROM — check</t>
  </si>
  <si>
    <t xml:space="preserve">lig</t>
  </si>
  <si>
    <t xml:space="preserve">LET OUT</t>
  </si>
  <si>
    <t xml:space="preserve">PRETEND</t>
  </si>
  <si>
    <t xml:space="preserve">PRETEND sense: lig sé air — check gloss wording</t>
  </si>
  <si>
    <t xml:space="preserve">do</t>
  </si>
  <si>
    <t xml:space="preserve">LEAVE ALONE</t>
  </si>
  <si>
    <t xml:space="preserve">buail</t>
  </si>
  <si>
    <t xml:space="preserve">MEET</t>
  </si>
  <si>
    <t xml:space="preserve">isteach</t>
  </si>
  <si>
    <t xml:space="preserve">DROP IN</t>
  </si>
  <si>
    <t xml:space="preserve">éist</t>
  </si>
  <si>
    <t xml:space="preserve">LISTEN TO</t>
  </si>
  <si>
    <t xml:space="preserve">amharc</t>
  </si>
  <si>
    <t xml:space="preserve">LOOK AT</t>
  </si>
  <si>
    <t xml:space="preserve">Ulster 'look at'; breathnaigh ar elsewhere</t>
  </si>
  <si>
    <t xml:space="preserve">fág</t>
  </si>
  <si>
    <t xml:space="preserve">LEAVE OUT</t>
  </si>
  <si>
    <t xml:space="preserve">seas</t>
  </si>
  <si>
    <t xml:space="preserve">STAND BY</t>
  </si>
  <si>
    <t xml:space="preserve">tar</t>
  </si>
  <si>
    <t xml:space="preserve">COME ACROSS</t>
  </si>
  <si>
    <t xml:space="preserve">COME ACROSS (find) — check</t>
  </si>
  <si>
    <t xml:space="preserve">Copies</t>
  </si>
  <si>
    <t xml:space="preserve">Compounds using it</t>
  </si>
  <si>
    <t xml:space="preserve">Particle</t>
  </si>
  <si>
    <t xml:space="preserve">Type</t>
  </si>
  <si>
    <t xml:space="preserve">preposition</t>
  </si>
  <si>
    <t xml:space="preserve">adverb</t>
  </si>
  <si>
    <t xml:space="preserve">síos</t>
  </si>
  <si>
    <t xml:space="preserve">ó</t>
  </si>
  <si>
    <t xml:space="preserve">Card</t>
  </si>
  <si>
    <t xml:space="preserve">Meaning 1</t>
  </si>
  <si>
    <t xml:space="preserve">Answer 1</t>
  </si>
  <si>
    <t xml:space="preserve">Meaning 2</t>
  </si>
  <si>
    <t xml:space="preserve">Answer 2</t>
  </si>
  <si>
    <t xml:space="preserve">Meaning 3</t>
  </si>
  <si>
    <t xml:space="preserve">Answer 3</t>
  </si>
  <si>
    <t xml:space="preserve">éist le</t>
  </si>
  <si>
    <t xml:space="preserve">cuir ar</t>
  </si>
  <si>
    <t xml:space="preserve">éirigh le</t>
  </si>
  <si>
    <t xml:space="preserve">seas le</t>
  </si>
  <si>
    <t xml:space="preserve">amharc ar</t>
  </si>
  <si>
    <t xml:space="preserve">bain amach</t>
  </si>
  <si>
    <t xml:space="preserve">fág amach</t>
  </si>
  <si>
    <t xml:space="preserve">coinnigh suas</t>
  </si>
  <si>
    <t xml:space="preserve">éirigh amach</t>
  </si>
  <si>
    <t xml:space="preserve">bain de</t>
  </si>
  <si>
    <t xml:space="preserve">cuir suas le</t>
  </si>
  <si>
    <t xml:space="preserve">lig amach</t>
  </si>
  <si>
    <t xml:space="preserve">tit amach</t>
  </si>
  <si>
    <t xml:space="preserve">tabhair suas / éirigh as</t>
  </si>
  <si>
    <t xml:space="preserve">cuir as do</t>
  </si>
  <si>
    <t xml:space="preserve">déan amach</t>
  </si>
  <si>
    <t xml:space="preserve">tóg suas</t>
  </si>
  <si>
    <t xml:space="preserve">buail le</t>
  </si>
  <si>
    <t xml:space="preserve">tabhair ar</t>
  </si>
  <si>
    <t xml:space="preserve">déan ar</t>
  </si>
  <si>
    <t xml:space="preserve">coinnigh ar</t>
  </si>
  <si>
    <t xml:space="preserve">bain le</t>
  </si>
  <si>
    <t xml:space="preserve">tóg ar</t>
  </si>
  <si>
    <t xml:space="preserve">cuir amach</t>
  </si>
  <si>
    <t xml:space="preserve">fan le</t>
  </si>
  <si>
    <t xml:space="preserve">tabhair faoi</t>
  </si>
  <si>
    <t xml:space="preserve">bain as</t>
  </si>
  <si>
    <t xml:space="preserve">fan amach ó</t>
  </si>
  <si>
    <t xml:space="preserve">cuir síos ar</t>
  </si>
  <si>
    <t xml:space="preserve">tar ar</t>
  </si>
  <si>
    <t xml:space="preserve">tabhair amach do</t>
  </si>
  <si>
    <t xml:space="preserve">buail isteach</t>
  </si>
  <si>
    <t xml:space="preserve">cuir isteach ar</t>
  </si>
  <si>
    <t xml:space="preserve">lig do</t>
  </si>
  <si>
    <t xml:space="preserve">lig ar</t>
  </si>
  <si>
    <t xml:space="preserve">Each meaning appears on exactly 3 cards, and no card repeats a verb. GIVE UP has two answers (tabhair suas / éirigh as), so it appears on 6.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</si>
</sst>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34AB7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SUM(Verbs!B2:B100)</f>
        <v>22</v>
      </c>
      <c r="C5" s="4" t="s">
        <v>7</v>
      </c>
      <c r="D5" s="4" t="s">
        <v>8</v>
      </c>
    </row>
    <row r="6" customFormat="false" ht="26.85" hidden="false" customHeight="false" outlineLevel="0" collapsed="false">
      <c r="A6" s="4" t="s">
        <v>9</v>
      </c>
      <c r="B6" s="4" t="n">
        <f aca="false">SUM(Particles!C2:C100)</f>
        <v>42</v>
      </c>
      <c r="C6" s="4" t="s">
        <v>10</v>
      </c>
      <c r="D6" s="4" t="s">
        <v>11</v>
      </c>
    </row>
    <row r="7" customFormat="false" ht="26.85" hidden="false" customHeight="false" outlineLevel="0" collapsed="false">
      <c r="A7" s="4" t="s">
        <v>12</v>
      </c>
      <c r="B7" s="4" t="n">
        <f aca="false">COUNT('Meaning cards'!A2:A100)</f>
        <v>36</v>
      </c>
      <c r="C7" s="4" t="s">
        <v>13</v>
      </c>
      <c r="D7" s="4" t="s">
        <v>14</v>
      </c>
    </row>
    <row r="8" customFormat="false" ht="15" hidden="false" customHeight="false" outlineLevel="0" collapsed="false">
      <c r="A8" s="4" t="s">
        <v>15</v>
      </c>
      <c r="B8" s="5" t="n">
        <v>4</v>
      </c>
      <c r="C8" s="4" t="s">
        <v>16</v>
      </c>
      <c r="D8" s="4" t="s">
        <v>17</v>
      </c>
    </row>
    <row r="9" customFormat="false" ht="15" hidden="false" customHeight="false" outlineLevel="0" collapsed="false">
      <c r="A9" s="6" t="s">
        <v>18</v>
      </c>
      <c r="B9" s="6" t="n">
        <f aca="false">SUM(B5:B8)</f>
        <v>104</v>
      </c>
    </row>
    <row r="11" customFormat="false" ht="15" hidden="false" customHeight="false" outlineLevel="0" collapsed="false">
      <c r="A11" s="7" t="s">
        <v>19</v>
      </c>
    </row>
    <row r="12" customFormat="false" ht="26.85" hidden="false" customHeight="false" outlineLevel="0" collapsed="false">
      <c r="A12" s="4" t="s">
        <v>20</v>
      </c>
      <c r="B12" s="5" t="n">
        <v>4</v>
      </c>
      <c r="C12" s="4" t="s">
        <v>21</v>
      </c>
    </row>
    <row r="13" customFormat="false" ht="15" hidden="false" customHeight="false" outlineLevel="0" collapsed="false">
      <c r="A13" s="4" t="s">
        <v>22</v>
      </c>
      <c r="B13" s="5" t="n">
        <v>12</v>
      </c>
      <c r="C13" s="4" t="s">
        <v>23</v>
      </c>
    </row>
    <row r="14" customFormat="false" ht="15" hidden="false" customHeight="false" outlineLevel="0" collapsed="false">
      <c r="A14" s="4" t="s">
        <v>24</v>
      </c>
      <c r="B14" s="5" t="n">
        <v>12</v>
      </c>
      <c r="C14" s="4"/>
    </row>
    <row r="15" customFormat="false" ht="15" hidden="false" customHeight="false" outlineLevel="0" collapsed="false">
      <c r="A15" s="4" t="s">
        <v>25</v>
      </c>
      <c r="B15" s="5" t="n">
        <v>10</v>
      </c>
      <c r="C15" s="4"/>
    </row>
    <row r="16" customFormat="false" ht="15" hidden="false" customHeight="false" outlineLevel="0" collapsed="false">
      <c r="A16" s="4" t="s">
        <v>26</v>
      </c>
      <c r="B16" s="5" t="n">
        <v>5</v>
      </c>
      <c r="C16" s="4" t="s">
        <v>27</v>
      </c>
    </row>
    <row r="17" customFormat="false" ht="26.85" hidden="false" customHeight="false" outlineLevel="0" collapsed="false">
      <c r="A17" s="4" t="s">
        <v>28</v>
      </c>
      <c r="B17" s="5" t="n">
        <v>2</v>
      </c>
      <c r="C17" s="4" t="s">
        <v>29</v>
      </c>
    </row>
    <row r="19" customFormat="false" ht="15" hidden="false" customHeight="false" outlineLevel="0" collapsed="false">
      <c r="A19" s="7" t="s">
        <v>30</v>
      </c>
    </row>
    <row r="20" customFormat="false" ht="31.5" hidden="false" customHeight="true" outlineLevel="0" collapsed="false">
      <c r="A20" s="8" t="s">
        <v>31</v>
      </c>
      <c r="B20" s="8"/>
      <c r="C20" s="8"/>
      <c r="D20" s="8"/>
    </row>
    <row r="21" customFormat="false" ht="31.5" hidden="false" customHeight="true" outlineLevel="0" collapsed="false">
      <c r="A21" s="8" t="s">
        <v>32</v>
      </c>
      <c r="B21" s="8"/>
      <c r="C21" s="8"/>
      <c r="D21" s="8"/>
    </row>
    <row r="22" customFormat="false" ht="31.5" hidden="false" customHeight="true" outlineLevel="0" collapsed="false">
      <c r="A22" s="8" t="s">
        <v>33</v>
      </c>
      <c r="B22" s="8"/>
      <c r="C22" s="8"/>
      <c r="D22" s="8"/>
    </row>
    <row r="23" customFormat="false" ht="31.5" hidden="false" customHeight="true" outlineLevel="0" collapsed="false">
      <c r="A23" s="8" t="s">
        <v>34</v>
      </c>
      <c r="B23" s="8"/>
      <c r="C23" s="8"/>
      <c r="D23" s="8"/>
    </row>
    <row r="24" customFormat="false" ht="31.5" hidden="false" customHeight="true" outlineLevel="0" collapsed="false">
      <c r="A24" s="8" t="s">
        <v>35</v>
      </c>
      <c r="B24" s="8"/>
      <c r="C24" s="8"/>
      <c r="D24" s="8"/>
    </row>
    <row r="25" customFormat="false" ht="31.5" hidden="false" customHeight="true" outlineLevel="0" collapsed="false">
      <c r="A25" s="8" t="s">
        <v>36</v>
      </c>
      <c r="B25" s="8"/>
      <c r="C25" s="8"/>
      <c r="D25" s="8"/>
    </row>
  </sheetData>
  <mergeCells count="7">
    <mergeCell ref="A2:D2"/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customFormat="false" ht="15" hidden="false" customHeight="false" outlineLevel="0" collapsed="false">
      <c r="A2" s="4" t="s">
        <v>43</v>
      </c>
      <c r="B2" s="4" t="s">
        <v>44</v>
      </c>
      <c r="C2" s="4" t="s">
        <v>45</v>
      </c>
      <c r="D2" s="4" t="n">
        <f aca="false">IF(ISNUMBER(SEARCH(" ",B2)),3,2)</f>
        <v>2</v>
      </c>
      <c r="E2" s="4"/>
      <c r="F2" s="9"/>
    </row>
    <row r="3" customFormat="false" ht="15" hidden="false" customHeight="false" outlineLevel="0" collapsed="false">
      <c r="A3" s="4" t="s">
        <v>43</v>
      </c>
      <c r="B3" s="4" t="s">
        <v>46</v>
      </c>
      <c r="C3" s="4" t="s">
        <v>47</v>
      </c>
      <c r="D3" s="4" t="n">
        <f aca="false">IF(ISNUMBER(SEARCH(" ",B3)),3,2)</f>
        <v>2</v>
      </c>
      <c r="E3" s="4"/>
      <c r="F3" s="9"/>
    </row>
    <row r="4" customFormat="false" ht="15" hidden="false" customHeight="false" outlineLevel="0" collapsed="false">
      <c r="A4" s="4" t="s">
        <v>43</v>
      </c>
      <c r="B4" s="4" t="s">
        <v>48</v>
      </c>
      <c r="C4" s="4" t="s">
        <v>49</v>
      </c>
      <c r="D4" s="4" t="n">
        <f aca="false">IF(ISNUMBER(SEARCH(" ",B4)),3,2)</f>
        <v>2</v>
      </c>
      <c r="E4" s="4"/>
      <c r="F4" s="9"/>
    </row>
    <row r="5" customFormat="false" ht="15" hidden="false" customHeight="false" outlineLevel="0" collapsed="false">
      <c r="A5" s="4" t="s">
        <v>43</v>
      </c>
      <c r="B5" s="4" t="s">
        <v>50</v>
      </c>
      <c r="C5" s="4" t="s">
        <v>51</v>
      </c>
      <c r="D5" s="4" t="n">
        <f aca="false">IF(ISNUMBER(SEARCH(" ",B5)),3,2)</f>
        <v>2</v>
      </c>
      <c r="E5" s="4" t="s">
        <v>52</v>
      </c>
      <c r="F5" s="9"/>
    </row>
    <row r="6" customFormat="false" ht="26.85" hidden="false" customHeight="false" outlineLevel="0" collapsed="false">
      <c r="A6" s="4" t="s">
        <v>53</v>
      </c>
      <c r="B6" s="4" t="s">
        <v>44</v>
      </c>
      <c r="C6" s="4" t="s">
        <v>54</v>
      </c>
      <c r="D6" s="4" t="n">
        <f aca="false">IF(ISNUMBER(SEARCH(" ",B6)),3,2)</f>
        <v>2</v>
      </c>
      <c r="E6" s="4" t="s">
        <v>55</v>
      </c>
      <c r="F6" s="9"/>
    </row>
    <row r="7" customFormat="false" ht="15" hidden="false" customHeight="false" outlineLevel="0" collapsed="false">
      <c r="A7" s="4" t="s">
        <v>53</v>
      </c>
      <c r="B7" s="4" t="s">
        <v>56</v>
      </c>
      <c r="C7" s="4" t="s">
        <v>57</v>
      </c>
      <c r="D7" s="4" t="n">
        <f aca="false">IF(ISNUMBER(SEARCH(" ",B7)),3,2)</f>
        <v>2</v>
      </c>
      <c r="E7" s="4"/>
      <c r="F7" s="9"/>
    </row>
    <row r="8" customFormat="false" ht="15" hidden="false" customHeight="false" outlineLevel="0" collapsed="false">
      <c r="A8" s="4" t="s">
        <v>53</v>
      </c>
      <c r="B8" s="4" t="s">
        <v>58</v>
      </c>
      <c r="C8" s="4" t="s">
        <v>59</v>
      </c>
      <c r="D8" s="4" t="n">
        <f aca="false">IF(ISNUMBER(SEARCH(" ",B8)),3,2)</f>
        <v>3</v>
      </c>
      <c r="E8" s="4"/>
      <c r="F8" s="9"/>
    </row>
    <row r="9" customFormat="false" ht="15" hidden="false" customHeight="false" outlineLevel="0" collapsed="false">
      <c r="A9" s="4" t="s">
        <v>53</v>
      </c>
      <c r="B9" s="4" t="s">
        <v>60</v>
      </c>
      <c r="C9" s="4" t="s">
        <v>61</v>
      </c>
      <c r="D9" s="4" t="n">
        <f aca="false">IF(ISNUMBER(SEARCH(" ",B9)),3,2)</f>
        <v>3</v>
      </c>
      <c r="E9" s="4"/>
      <c r="F9" s="9"/>
    </row>
    <row r="10" customFormat="false" ht="15" hidden="false" customHeight="false" outlineLevel="0" collapsed="false">
      <c r="A10" s="4" t="s">
        <v>53</v>
      </c>
      <c r="B10" s="4" t="s">
        <v>62</v>
      </c>
      <c r="C10" s="4" t="s">
        <v>63</v>
      </c>
      <c r="D10" s="4" t="n">
        <f aca="false">IF(ISNUMBER(SEARCH(" ",B10)),3,2)</f>
        <v>3</v>
      </c>
      <c r="E10" s="4"/>
      <c r="F10" s="9"/>
    </row>
    <row r="11" customFormat="false" ht="15" hidden="false" customHeight="false" outlineLevel="0" collapsed="false">
      <c r="A11" s="4" t="s">
        <v>53</v>
      </c>
      <c r="B11" s="4" t="s">
        <v>64</v>
      </c>
      <c r="C11" s="4" t="s">
        <v>65</v>
      </c>
      <c r="D11" s="4" t="n">
        <f aca="false">IF(ISNUMBER(SEARCH(" ",B11)),3,2)</f>
        <v>3</v>
      </c>
      <c r="E11" s="4" t="s">
        <v>66</v>
      </c>
      <c r="F11" s="9"/>
    </row>
    <row r="12" customFormat="false" ht="15" hidden="false" customHeight="false" outlineLevel="0" collapsed="false">
      <c r="A12" s="4" t="s">
        <v>67</v>
      </c>
      <c r="B12" s="4" t="s">
        <v>68</v>
      </c>
      <c r="C12" s="4" t="s">
        <v>69</v>
      </c>
      <c r="D12" s="4" t="n">
        <f aca="false">IF(ISNUMBER(SEARCH(" ",B12)),3,2)</f>
        <v>2</v>
      </c>
      <c r="E12" s="4"/>
      <c r="F12" s="9"/>
    </row>
    <row r="13" customFormat="false" ht="15" hidden="false" customHeight="false" outlineLevel="0" collapsed="false">
      <c r="A13" s="4" t="s">
        <v>67</v>
      </c>
      <c r="B13" s="4" t="s">
        <v>70</v>
      </c>
      <c r="C13" s="4" t="s">
        <v>71</v>
      </c>
      <c r="D13" s="4" t="n">
        <f aca="false">IF(ISNUMBER(SEARCH(" ",B13)),3,2)</f>
        <v>2</v>
      </c>
      <c r="E13" s="4"/>
      <c r="F13" s="9"/>
    </row>
    <row r="14" customFormat="false" ht="15" hidden="false" customHeight="false" outlineLevel="0" collapsed="false">
      <c r="A14" s="4" t="s">
        <v>67</v>
      </c>
      <c r="B14" s="4" t="s">
        <v>72</v>
      </c>
      <c r="C14" s="4" t="s">
        <v>73</v>
      </c>
      <c r="D14" s="4" t="n">
        <f aca="false">IF(ISNUMBER(SEARCH(" ",B14)),3,2)</f>
        <v>3</v>
      </c>
      <c r="E14" s="4"/>
      <c r="F14" s="9"/>
    </row>
    <row r="15" customFormat="false" ht="15" hidden="false" customHeight="false" outlineLevel="0" collapsed="false">
      <c r="A15" s="4" t="s">
        <v>67</v>
      </c>
      <c r="B15" s="4" t="s">
        <v>56</v>
      </c>
      <c r="C15" s="4" t="s">
        <v>74</v>
      </c>
      <c r="D15" s="4" t="n">
        <f aca="false">IF(ISNUMBER(SEARCH(" ",B15)),3,2)</f>
        <v>2</v>
      </c>
      <c r="E15" s="4" t="s">
        <v>75</v>
      </c>
      <c r="F15" s="9"/>
    </row>
    <row r="16" customFormat="false" ht="15" hidden="false" customHeight="false" outlineLevel="0" collapsed="false">
      <c r="A16" s="4" t="s">
        <v>76</v>
      </c>
      <c r="B16" s="4" t="s">
        <v>44</v>
      </c>
      <c r="C16" s="4" t="s">
        <v>77</v>
      </c>
      <c r="D16" s="4" t="n">
        <f aca="false">IF(ISNUMBER(SEARCH(" ",B16)),3,2)</f>
        <v>2</v>
      </c>
      <c r="E16" s="4"/>
      <c r="F16" s="9"/>
    </row>
    <row r="17" customFormat="false" ht="15" hidden="false" customHeight="false" outlineLevel="0" collapsed="false">
      <c r="A17" s="4" t="s">
        <v>76</v>
      </c>
      <c r="B17" s="4" t="s">
        <v>56</v>
      </c>
      <c r="C17" s="4" t="s">
        <v>78</v>
      </c>
      <c r="D17" s="4" t="n">
        <f aca="false">IF(ISNUMBER(SEARCH(" ",B17)),3,2)</f>
        <v>2</v>
      </c>
      <c r="E17" s="4"/>
      <c r="F17" s="9"/>
    </row>
    <row r="18" customFormat="false" ht="15" hidden="false" customHeight="false" outlineLevel="0" collapsed="false">
      <c r="A18" s="4" t="s">
        <v>79</v>
      </c>
      <c r="B18" s="4" t="s">
        <v>50</v>
      </c>
      <c r="C18" s="4" t="s">
        <v>80</v>
      </c>
      <c r="D18" s="4" t="n">
        <f aca="false">IF(ISNUMBER(SEARCH(" ",B18)),3,2)</f>
        <v>2</v>
      </c>
      <c r="E18" s="4"/>
      <c r="F18" s="9"/>
    </row>
    <row r="19" customFormat="false" ht="15" hidden="false" customHeight="false" outlineLevel="0" collapsed="false">
      <c r="A19" s="4" t="s">
        <v>79</v>
      </c>
      <c r="B19" s="4" t="s">
        <v>46</v>
      </c>
      <c r="C19" s="4" t="s">
        <v>69</v>
      </c>
      <c r="D19" s="4" t="n">
        <f aca="false">IF(ISNUMBER(SEARCH(" ",B19)),3,2)</f>
        <v>2</v>
      </c>
      <c r="E19" s="4"/>
      <c r="F19" s="9"/>
    </row>
    <row r="20" customFormat="false" ht="15" hidden="false" customHeight="false" outlineLevel="0" collapsed="false">
      <c r="A20" s="4" t="s">
        <v>79</v>
      </c>
      <c r="B20" s="4" t="s">
        <v>44</v>
      </c>
      <c r="C20" s="4" t="s">
        <v>81</v>
      </c>
      <c r="D20" s="4" t="n">
        <f aca="false">IF(ISNUMBER(SEARCH(" ",B20)),3,2)</f>
        <v>2</v>
      </c>
      <c r="E20" s="4" t="s">
        <v>82</v>
      </c>
      <c r="F20" s="9"/>
    </row>
    <row r="21" customFormat="false" ht="15" hidden="false" customHeight="false" outlineLevel="0" collapsed="false">
      <c r="A21" s="4" t="s">
        <v>83</v>
      </c>
      <c r="B21" s="4" t="s">
        <v>44</v>
      </c>
      <c r="C21" s="4" t="s">
        <v>84</v>
      </c>
      <c r="D21" s="4" t="n">
        <f aca="false">IF(ISNUMBER(SEARCH(" ",B21)),3,2)</f>
        <v>2</v>
      </c>
      <c r="E21" s="4"/>
      <c r="F21" s="9"/>
    </row>
    <row r="22" customFormat="false" ht="15" hidden="false" customHeight="false" outlineLevel="0" collapsed="false">
      <c r="A22" s="4" t="s">
        <v>85</v>
      </c>
      <c r="B22" s="4" t="s">
        <v>68</v>
      </c>
      <c r="C22" s="4" t="s">
        <v>86</v>
      </c>
      <c r="D22" s="4" t="n">
        <f aca="false">IF(ISNUMBER(SEARCH(" ",B22)),3,2)</f>
        <v>2</v>
      </c>
      <c r="E22" s="4"/>
      <c r="F22" s="9"/>
    </row>
    <row r="23" customFormat="false" ht="15" hidden="false" customHeight="false" outlineLevel="0" collapsed="false">
      <c r="A23" s="4" t="s">
        <v>85</v>
      </c>
      <c r="B23" s="4" t="s">
        <v>56</v>
      </c>
      <c r="C23" s="4" t="s">
        <v>87</v>
      </c>
      <c r="D23" s="4" t="n">
        <f aca="false">IF(ISNUMBER(SEARCH(" ",B23)),3,2)</f>
        <v>2</v>
      </c>
      <c r="E23" s="4" t="s">
        <v>88</v>
      </c>
      <c r="F23" s="9"/>
    </row>
    <row r="24" customFormat="false" ht="15" hidden="false" customHeight="false" outlineLevel="0" collapsed="false">
      <c r="A24" s="4" t="s">
        <v>89</v>
      </c>
      <c r="B24" s="4" t="s">
        <v>56</v>
      </c>
      <c r="C24" s="4" t="s">
        <v>90</v>
      </c>
      <c r="D24" s="4" t="n">
        <f aca="false">IF(ISNUMBER(SEARCH(" ",B24)),3,2)</f>
        <v>2</v>
      </c>
      <c r="E24" s="4"/>
      <c r="F24" s="9"/>
    </row>
    <row r="25" customFormat="false" ht="15" hidden="false" customHeight="false" outlineLevel="0" collapsed="false">
      <c r="A25" s="4" t="s">
        <v>89</v>
      </c>
      <c r="B25" s="4" t="s">
        <v>68</v>
      </c>
      <c r="C25" s="4" t="s">
        <v>91</v>
      </c>
      <c r="D25" s="4" t="n">
        <f aca="false">IF(ISNUMBER(SEARCH(" ",B25)),3,2)</f>
        <v>2</v>
      </c>
      <c r="E25" s="4" t="s">
        <v>92</v>
      </c>
      <c r="F25" s="9"/>
    </row>
    <row r="26" customFormat="false" ht="15" hidden="false" customHeight="false" outlineLevel="0" collapsed="false">
      <c r="A26" s="4" t="s">
        <v>93</v>
      </c>
      <c r="B26" s="4" t="s">
        <v>50</v>
      </c>
      <c r="C26" s="4" t="s">
        <v>94</v>
      </c>
      <c r="D26" s="4" t="n">
        <f aca="false">IF(ISNUMBER(SEARCH(" ",B26)),3,2)</f>
        <v>2</v>
      </c>
      <c r="E26" s="4"/>
      <c r="F26" s="9"/>
    </row>
    <row r="27" customFormat="false" ht="15" hidden="false" customHeight="false" outlineLevel="0" collapsed="false">
      <c r="A27" s="4" t="s">
        <v>93</v>
      </c>
      <c r="B27" s="4" t="s">
        <v>95</v>
      </c>
      <c r="C27" s="4" t="s">
        <v>96</v>
      </c>
      <c r="D27" s="4" t="n">
        <f aca="false">IF(ISNUMBER(SEARCH(" ",B27)),3,2)</f>
        <v>3</v>
      </c>
      <c r="E27" s="4" t="s">
        <v>97</v>
      </c>
      <c r="F27" s="9"/>
    </row>
    <row r="28" customFormat="false" ht="15" hidden="false" customHeight="false" outlineLevel="0" collapsed="false">
      <c r="A28" s="4" t="s">
        <v>98</v>
      </c>
      <c r="B28" s="4" t="s">
        <v>44</v>
      </c>
      <c r="C28" s="4" t="s">
        <v>99</v>
      </c>
      <c r="D28" s="4" t="n">
        <f aca="false">IF(ISNUMBER(SEARCH(" ",B28)),3,2)</f>
        <v>2</v>
      </c>
      <c r="E28" s="4"/>
      <c r="F28" s="9"/>
    </row>
    <row r="29" customFormat="false" ht="26.85" hidden="false" customHeight="false" outlineLevel="0" collapsed="false">
      <c r="A29" s="4" t="s">
        <v>98</v>
      </c>
      <c r="B29" s="4" t="s">
        <v>56</v>
      </c>
      <c r="C29" s="4" t="s">
        <v>100</v>
      </c>
      <c r="D29" s="4" t="n">
        <f aca="false">IF(ISNUMBER(SEARCH(" ",B29)),3,2)</f>
        <v>2</v>
      </c>
      <c r="E29" s="4" t="s">
        <v>101</v>
      </c>
      <c r="F29" s="9"/>
    </row>
    <row r="30" customFormat="false" ht="15" hidden="false" customHeight="false" outlineLevel="0" collapsed="false">
      <c r="A30" s="4" t="s">
        <v>98</v>
      </c>
      <c r="B30" s="4" t="s">
        <v>102</v>
      </c>
      <c r="C30" s="4" t="s">
        <v>103</v>
      </c>
      <c r="D30" s="4" t="n">
        <f aca="false">IF(ISNUMBER(SEARCH(" ",B30)),3,2)</f>
        <v>2</v>
      </c>
      <c r="E30" s="4"/>
      <c r="F30" s="9"/>
    </row>
    <row r="31" customFormat="false" ht="15" hidden="false" customHeight="false" outlineLevel="0" collapsed="false">
      <c r="A31" s="4" t="s">
        <v>104</v>
      </c>
      <c r="B31" s="4" t="s">
        <v>50</v>
      </c>
      <c r="C31" s="4" t="s">
        <v>105</v>
      </c>
      <c r="D31" s="4" t="n">
        <f aca="false">IF(ISNUMBER(SEARCH(" ",B31)),3,2)</f>
        <v>2</v>
      </c>
      <c r="E31" s="4"/>
      <c r="F31" s="9"/>
    </row>
    <row r="32" customFormat="false" ht="15" hidden="false" customHeight="false" outlineLevel="0" collapsed="false">
      <c r="A32" s="4" t="s">
        <v>104</v>
      </c>
      <c r="B32" s="4" t="s">
        <v>106</v>
      </c>
      <c r="C32" s="4" t="s">
        <v>107</v>
      </c>
      <c r="D32" s="4" t="n">
        <f aca="false">IF(ISNUMBER(SEARCH(" ",B32)),3,2)</f>
        <v>2</v>
      </c>
      <c r="E32" s="4"/>
      <c r="F32" s="9"/>
    </row>
    <row r="33" customFormat="false" ht="15" hidden="false" customHeight="false" outlineLevel="0" collapsed="false">
      <c r="A33" s="4" t="s">
        <v>108</v>
      </c>
      <c r="B33" s="4" t="s">
        <v>50</v>
      </c>
      <c r="C33" s="4" t="s">
        <v>109</v>
      </c>
      <c r="D33" s="4" t="n">
        <f aca="false">IF(ISNUMBER(SEARCH(" ",B33)),3,2)</f>
        <v>2</v>
      </c>
      <c r="E33" s="4"/>
      <c r="F33" s="9"/>
    </row>
    <row r="34" customFormat="false" ht="15" hidden="false" customHeight="false" outlineLevel="0" collapsed="false">
      <c r="A34" s="4" t="s">
        <v>110</v>
      </c>
      <c r="B34" s="4" t="s">
        <v>56</v>
      </c>
      <c r="C34" s="4" t="s">
        <v>111</v>
      </c>
      <c r="D34" s="4" t="n">
        <f aca="false">IF(ISNUMBER(SEARCH(" ",B34)),3,2)</f>
        <v>2</v>
      </c>
      <c r="E34" s="4" t="s">
        <v>112</v>
      </c>
      <c r="F34" s="9"/>
    </row>
    <row r="35" customFormat="false" ht="15" hidden="false" customHeight="false" outlineLevel="0" collapsed="false">
      <c r="A35" s="4" t="s">
        <v>113</v>
      </c>
      <c r="B35" s="4" t="s">
        <v>44</v>
      </c>
      <c r="C35" s="4" t="s">
        <v>114</v>
      </c>
      <c r="D35" s="4" t="n">
        <f aca="false">IF(ISNUMBER(SEARCH(" ",B35)),3,2)</f>
        <v>2</v>
      </c>
      <c r="E35" s="4"/>
      <c r="F35" s="9"/>
    </row>
    <row r="36" customFormat="false" ht="15" hidden="false" customHeight="false" outlineLevel="0" collapsed="false">
      <c r="A36" s="4" t="s">
        <v>115</v>
      </c>
      <c r="B36" s="4" t="s">
        <v>50</v>
      </c>
      <c r="C36" s="4" t="s">
        <v>116</v>
      </c>
      <c r="D36" s="4" t="n">
        <f aca="false">IF(ISNUMBER(SEARCH(" ",B36)),3,2)</f>
        <v>2</v>
      </c>
      <c r="E36" s="4"/>
      <c r="F36" s="9"/>
    </row>
    <row r="37" customFormat="false" ht="15" hidden="false" customHeight="false" outlineLevel="0" collapsed="false">
      <c r="A37" s="4" t="s">
        <v>117</v>
      </c>
      <c r="B37" s="4" t="s">
        <v>56</v>
      </c>
      <c r="C37" s="4" t="s">
        <v>118</v>
      </c>
      <c r="D37" s="4" t="n">
        <f aca="false">IF(ISNUMBER(SEARCH(" ",B37)),3,2)</f>
        <v>2</v>
      </c>
      <c r="E37" s="4" t="s">
        <v>119</v>
      </c>
      <c r="F3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26.85" hidden="false" customHeight="false" outlineLevel="0" collapsed="false">
      <c r="A1" s="3" t="s">
        <v>37</v>
      </c>
      <c r="B1" s="3" t="s">
        <v>120</v>
      </c>
      <c r="C1" s="3" t="s">
        <v>121</v>
      </c>
      <c r="D1" s="3" t="s">
        <v>42</v>
      </c>
    </row>
    <row r="2" customFormat="false" ht="15" hidden="false" customHeight="false" outlineLevel="0" collapsed="false">
      <c r="A2" s="4" t="s">
        <v>53</v>
      </c>
      <c r="B2" s="5" t="n">
        <v>3</v>
      </c>
      <c r="C2" s="4" t="n">
        <f aca="false">COUNTIF(Compounds!$A$2:$A$37,A2)</f>
        <v>6</v>
      </c>
      <c r="D2" s="10"/>
    </row>
    <row r="3" customFormat="false" ht="15" hidden="false" customHeight="false" outlineLevel="0" collapsed="false">
      <c r="A3" s="4" t="s">
        <v>43</v>
      </c>
      <c r="B3" s="5" t="n">
        <v>2</v>
      </c>
      <c r="C3" s="4" t="n">
        <f aca="false">COUNTIF(Compounds!$A$2:$A$37,A3)</f>
        <v>4</v>
      </c>
      <c r="D3" s="10"/>
    </row>
    <row r="4" customFormat="false" ht="15" hidden="false" customHeight="false" outlineLevel="0" collapsed="false">
      <c r="A4" s="4" t="s">
        <v>98</v>
      </c>
      <c r="B4" s="5" t="n">
        <v>2</v>
      </c>
      <c r="C4" s="4" t="n">
        <f aca="false">COUNTIF(Compounds!$A$2:$A$37,A4)</f>
        <v>3</v>
      </c>
      <c r="D4" s="10"/>
    </row>
    <row r="5" customFormat="false" ht="15" hidden="false" customHeight="false" outlineLevel="0" collapsed="false">
      <c r="A5" s="4" t="s">
        <v>67</v>
      </c>
      <c r="B5" s="5" t="n">
        <v>2</v>
      </c>
      <c r="C5" s="4" t="n">
        <f aca="false">COUNTIF(Compounds!$A$2:$A$37,A5)</f>
        <v>4</v>
      </c>
      <c r="D5" s="10"/>
    </row>
    <row r="6" customFormat="false" ht="15" hidden="false" customHeight="false" outlineLevel="0" collapsed="false">
      <c r="A6" s="4" t="s">
        <v>79</v>
      </c>
      <c r="B6" s="5" t="n">
        <v>2</v>
      </c>
      <c r="C6" s="4" t="n">
        <f aca="false">COUNTIF(Compounds!$A$2:$A$37,A6)</f>
        <v>3</v>
      </c>
      <c r="D6" s="10"/>
    </row>
    <row r="7" customFormat="false" ht="15" hidden="false" customHeight="false" outlineLevel="0" collapsed="false">
      <c r="A7" s="4" t="s">
        <v>110</v>
      </c>
      <c r="B7" s="5" t="n">
        <v>1</v>
      </c>
      <c r="C7" s="4" t="n">
        <f aca="false">COUNTIF(Compounds!$A$2:$A$37,A7)</f>
        <v>1</v>
      </c>
      <c r="D7" s="10"/>
    </row>
    <row r="8" customFormat="false" ht="15" hidden="false" customHeight="false" outlineLevel="0" collapsed="false">
      <c r="A8" s="4" t="s">
        <v>104</v>
      </c>
      <c r="B8" s="5" t="n">
        <v>1</v>
      </c>
      <c r="C8" s="4" t="n">
        <f aca="false">COUNTIF(Compounds!$A$2:$A$37,A8)</f>
        <v>2</v>
      </c>
      <c r="D8" s="10"/>
    </row>
    <row r="9" customFormat="false" ht="15" hidden="false" customHeight="false" outlineLevel="0" collapsed="false">
      <c r="A9" s="4" t="s">
        <v>89</v>
      </c>
      <c r="B9" s="5" t="n">
        <v>1</v>
      </c>
      <c r="C9" s="4" t="n">
        <f aca="false">COUNTIF(Compounds!$A$2:$A$37,A9)</f>
        <v>2</v>
      </c>
      <c r="D9" s="10"/>
    </row>
    <row r="10" customFormat="false" ht="15" hidden="false" customHeight="false" outlineLevel="0" collapsed="false">
      <c r="A10" s="4" t="s">
        <v>76</v>
      </c>
      <c r="B10" s="5" t="n">
        <v>1</v>
      </c>
      <c r="C10" s="4" t="n">
        <f aca="false">COUNTIF(Compounds!$A$2:$A$37,A10)</f>
        <v>2</v>
      </c>
      <c r="D10" s="10"/>
    </row>
    <row r="11" customFormat="false" ht="15" hidden="false" customHeight="false" outlineLevel="0" collapsed="false">
      <c r="A11" s="4" t="s">
        <v>93</v>
      </c>
      <c r="B11" s="5" t="n">
        <v>1</v>
      </c>
      <c r="C11" s="4" t="n">
        <f aca="false">COUNTIF(Compounds!$A$2:$A$37,A11)</f>
        <v>2</v>
      </c>
      <c r="D11" s="10"/>
    </row>
    <row r="12" customFormat="false" ht="15" hidden="false" customHeight="false" outlineLevel="0" collapsed="false">
      <c r="A12" s="4" t="s">
        <v>113</v>
      </c>
      <c r="B12" s="5" t="n">
        <v>1</v>
      </c>
      <c r="C12" s="4" t="n">
        <f aca="false">COUNTIF(Compounds!$A$2:$A$37,A12)</f>
        <v>1</v>
      </c>
      <c r="D12" s="10"/>
    </row>
    <row r="13" customFormat="false" ht="15" hidden="false" customHeight="false" outlineLevel="0" collapsed="false">
      <c r="A13" s="4" t="s">
        <v>115</v>
      </c>
      <c r="B13" s="5" t="n">
        <v>1</v>
      </c>
      <c r="C13" s="4" t="n">
        <f aca="false">COUNTIF(Compounds!$A$2:$A$37,A13)</f>
        <v>1</v>
      </c>
      <c r="D13" s="10"/>
    </row>
    <row r="14" customFormat="false" ht="15" hidden="false" customHeight="false" outlineLevel="0" collapsed="false">
      <c r="A14" s="4" t="s">
        <v>117</v>
      </c>
      <c r="B14" s="5" t="n">
        <v>1</v>
      </c>
      <c r="C14" s="4" t="n">
        <f aca="false">COUNTIF(Compounds!$A$2:$A$37,A14)</f>
        <v>1</v>
      </c>
      <c r="D14" s="10"/>
    </row>
    <row r="15" customFormat="false" ht="15" hidden="false" customHeight="false" outlineLevel="0" collapsed="false">
      <c r="A15" s="4" t="s">
        <v>83</v>
      </c>
      <c r="B15" s="5" t="n">
        <v>1</v>
      </c>
      <c r="C15" s="4" t="n">
        <f aca="false">COUNTIF(Compounds!$A$2:$A$37,A15)</f>
        <v>1</v>
      </c>
      <c r="D15" s="10"/>
    </row>
    <row r="16" customFormat="false" ht="15" hidden="false" customHeight="false" outlineLevel="0" collapsed="false">
      <c r="A16" s="4" t="s">
        <v>85</v>
      </c>
      <c r="B16" s="5" t="n">
        <v>1</v>
      </c>
      <c r="C16" s="4" t="n">
        <f aca="false">COUNTIF(Compounds!$A$2:$A$37,A16)</f>
        <v>2</v>
      </c>
      <c r="D16" s="10"/>
    </row>
    <row r="17" customFormat="false" ht="15" hidden="false" customHeight="false" outlineLevel="0" collapsed="false">
      <c r="A17" s="4" t="s">
        <v>108</v>
      </c>
      <c r="B17" s="5" t="n">
        <v>1</v>
      </c>
      <c r="C17" s="4" t="n">
        <f aca="false">COUNTIF(Compounds!$A$2:$A$37,A17)</f>
        <v>1</v>
      </c>
      <c r="D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26.85" hidden="false" customHeight="false" outlineLevel="0" collapsed="false">
      <c r="A1" s="3" t="s">
        <v>122</v>
      </c>
      <c r="B1" s="3" t="s">
        <v>123</v>
      </c>
      <c r="C1" s="3" t="s">
        <v>120</v>
      </c>
      <c r="D1" s="3" t="s">
        <v>121</v>
      </c>
      <c r="E1" s="3" t="s">
        <v>42</v>
      </c>
    </row>
    <row r="2" customFormat="false" ht="15" hidden="false" customHeight="false" outlineLevel="0" collapsed="false">
      <c r="A2" s="4" t="s">
        <v>56</v>
      </c>
      <c r="B2" s="4" t="s">
        <v>124</v>
      </c>
      <c r="C2" s="5" t="n">
        <v>10</v>
      </c>
      <c r="D2" s="4" t="n">
        <f aca="false">SUMPRODUCT(--ISNUMBER(SEARCH(" "&amp;A2&amp;" "," "&amp;Compounds!$B$2:$B$37&amp;" ")))</f>
        <v>10</v>
      </c>
      <c r="E2" s="10"/>
    </row>
    <row r="3" customFormat="false" ht="15" hidden="false" customHeight="false" outlineLevel="0" collapsed="false">
      <c r="A3" s="4" t="s">
        <v>44</v>
      </c>
      <c r="B3" s="4" t="s">
        <v>125</v>
      </c>
      <c r="C3" s="5" t="n">
        <v>9</v>
      </c>
      <c r="D3" s="4" t="n">
        <f aca="false">SUMPRODUCT(--ISNUMBER(SEARCH(" "&amp;A3&amp;" "," "&amp;Compounds!$B$2:$B$37&amp;" ")))</f>
        <v>9</v>
      </c>
      <c r="E3" s="10"/>
    </row>
    <row r="4" customFormat="false" ht="15" hidden="false" customHeight="false" outlineLevel="0" collapsed="false">
      <c r="A4" s="4" t="s">
        <v>50</v>
      </c>
      <c r="B4" s="4" t="s">
        <v>124</v>
      </c>
      <c r="C4" s="5" t="n">
        <v>7</v>
      </c>
      <c r="D4" s="4" t="n">
        <f aca="false">SUMPRODUCT(--ISNUMBER(SEARCH(" "&amp;A4&amp;" "," "&amp;Compounds!$B$2:$B$37&amp;" ")))</f>
        <v>7</v>
      </c>
      <c r="E4" s="10"/>
    </row>
    <row r="5" customFormat="false" ht="15" hidden="false" customHeight="false" outlineLevel="0" collapsed="false">
      <c r="A5" s="4" t="s">
        <v>68</v>
      </c>
      <c r="B5" s="4" t="s">
        <v>125</v>
      </c>
      <c r="C5" s="5" t="n">
        <v>4</v>
      </c>
      <c r="D5" s="4" t="n">
        <f aca="false">SUMPRODUCT(--ISNUMBER(SEARCH(" "&amp;A5&amp;" "," "&amp;Compounds!$B$2:$B$37&amp;" ")))</f>
        <v>4</v>
      </c>
      <c r="E5" s="10"/>
    </row>
    <row r="6" customFormat="false" ht="15" hidden="false" customHeight="false" outlineLevel="0" collapsed="false">
      <c r="A6" s="4" t="s">
        <v>46</v>
      </c>
      <c r="B6" s="4" t="s">
        <v>124</v>
      </c>
      <c r="C6" s="5" t="n">
        <v>3</v>
      </c>
      <c r="D6" s="4" t="n">
        <f aca="false">SUMPRODUCT(--ISNUMBER(SEARCH(" "&amp;A6&amp;" "," "&amp;Compounds!$B$2:$B$37&amp;" ")))</f>
        <v>3</v>
      </c>
      <c r="E6" s="10"/>
    </row>
    <row r="7" customFormat="false" ht="15" hidden="false" customHeight="false" outlineLevel="0" collapsed="false">
      <c r="A7" s="4" t="s">
        <v>102</v>
      </c>
      <c r="B7" s="4" t="s">
        <v>124</v>
      </c>
      <c r="C7" s="5" t="n">
        <v>3</v>
      </c>
      <c r="D7" s="4" t="n">
        <f aca="false">SUMPRODUCT(--ISNUMBER(SEARCH(" "&amp;A7&amp;" "," "&amp;Compounds!$B$2:$B$37&amp;" ")))</f>
        <v>3</v>
      </c>
      <c r="E7" s="10"/>
    </row>
    <row r="8" customFormat="false" ht="15" hidden="false" customHeight="false" outlineLevel="0" collapsed="false">
      <c r="A8" s="4" t="s">
        <v>106</v>
      </c>
      <c r="B8" s="4" t="s">
        <v>125</v>
      </c>
      <c r="C8" s="5" t="n">
        <v>2</v>
      </c>
      <c r="D8" s="4" t="n">
        <f aca="false">SUMPRODUCT(--ISNUMBER(SEARCH(" "&amp;A8&amp;" "," "&amp;Compounds!$B$2:$B$37&amp;" ")))</f>
        <v>2</v>
      </c>
      <c r="E8" s="10"/>
    </row>
    <row r="9" customFormat="false" ht="15" hidden="false" customHeight="false" outlineLevel="0" collapsed="false">
      <c r="A9" s="4" t="s">
        <v>48</v>
      </c>
      <c r="B9" s="4" t="s">
        <v>124</v>
      </c>
      <c r="C9" s="5" t="n">
        <v>1</v>
      </c>
      <c r="D9" s="4" t="n">
        <f aca="false">SUMPRODUCT(--ISNUMBER(SEARCH(" "&amp;A9&amp;" "," "&amp;Compounds!$B$2:$B$37&amp;" ")))</f>
        <v>1</v>
      </c>
      <c r="E9" s="10"/>
    </row>
    <row r="10" customFormat="false" ht="15" hidden="false" customHeight="false" outlineLevel="0" collapsed="false">
      <c r="A10" s="4" t="s">
        <v>70</v>
      </c>
      <c r="B10" s="4" t="s">
        <v>124</v>
      </c>
      <c r="C10" s="5" t="n">
        <v>1</v>
      </c>
      <c r="D10" s="4" t="n">
        <f aca="false">SUMPRODUCT(--ISNUMBER(SEARCH(" "&amp;A10&amp;" "," "&amp;Compounds!$B$2:$B$37&amp;" ")))</f>
        <v>1</v>
      </c>
      <c r="E10" s="10"/>
    </row>
    <row r="11" customFormat="false" ht="15" hidden="false" customHeight="false" outlineLevel="0" collapsed="false">
      <c r="A11" s="4" t="s">
        <v>126</v>
      </c>
      <c r="B11" s="4" t="s">
        <v>125</v>
      </c>
      <c r="C11" s="5" t="n">
        <v>1</v>
      </c>
      <c r="D11" s="4" t="n">
        <f aca="false">SUMPRODUCT(--ISNUMBER(SEARCH(" "&amp;A11&amp;" "," "&amp;Compounds!$B$2:$B$37&amp;" ")))</f>
        <v>1</v>
      </c>
      <c r="E11" s="10"/>
    </row>
    <row r="12" customFormat="false" ht="15" hidden="false" customHeight="false" outlineLevel="0" collapsed="false">
      <c r="A12" s="4" t="s">
        <v>127</v>
      </c>
      <c r="B12" s="4" t="s">
        <v>124</v>
      </c>
      <c r="C12" s="5" t="n">
        <v>1</v>
      </c>
      <c r="D12" s="4" t="n">
        <f aca="false">SUMPRODUCT(--ISNUMBER(SEARCH(" "&amp;A12&amp;" "," "&amp;Compounds!$B$2:$B$37&amp;" ")))</f>
        <v>1</v>
      </c>
      <c r="E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</row>
    <row r="2" customFormat="false" ht="15" hidden="false" customHeight="false" outlineLevel="0" collapsed="false">
      <c r="A2" s="4" t="n">
        <v>1</v>
      </c>
      <c r="B2" s="4" t="s">
        <v>109</v>
      </c>
      <c r="C2" s="11" t="s">
        <v>135</v>
      </c>
      <c r="D2" s="4" t="s">
        <v>57</v>
      </c>
      <c r="E2" s="11" t="s">
        <v>136</v>
      </c>
      <c r="F2" s="4" t="s">
        <v>80</v>
      </c>
      <c r="G2" s="11" t="s">
        <v>137</v>
      </c>
    </row>
    <row r="3" customFormat="false" ht="15" hidden="false" customHeight="false" outlineLevel="0" collapsed="false">
      <c r="A3" s="4" t="n">
        <v>2</v>
      </c>
      <c r="B3" s="4" t="s">
        <v>116</v>
      </c>
      <c r="C3" s="11" t="s">
        <v>138</v>
      </c>
      <c r="D3" s="4" t="s">
        <v>111</v>
      </c>
      <c r="E3" s="11" t="s">
        <v>139</v>
      </c>
      <c r="F3" s="4" t="s">
        <v>45</v>
      </c>
      <c r="G3" s="11" t="s">
        <v>140</v>
      </c>
    </row>
    <row r="4" customFormat="false" ht="15" hidden="false" customHeight="false" outlineLevel="0" collapsed="false">
      <c r="A4" s="4" t="n">
        <v>3</v>
      </c>
      <c r="B4" s="4" t="s">
        <v>114</v>
      </c>
      <c r="C4" s="11" t="s">
        <v>141</v>
      </c>
      <c r="D4" s="4" t="s">
        <v>91</v>
      </c>
      <c r="E4" s="11" t="s">
        <v>142</v>
      </c>
      <c r="F4" s="4" t="s">
        <v>81</v>
      </c>
      <c r="G4" s="11" t="s">
        <v>143</v>
      </c>
    </row>
    <row r="5" customFormat="false" ht="15" hidden="false" customHeight="false" outlineLevel="0" collapsed="false">
      <c r="A5" s="4" t="n">
        <v>4</v>
      </c>
      <c r="B5" s="4" t="s">
        <v>49</v>
      </c>
      <c r="C5" s="11" t="s">
        <v>144</v>
      </c>
      <c r="D5" s="4" t="s">
        <v>61</v>
      </c>
      <c r="E5" s="11" t="s">
        <v>145</v>
      </c>
      <c r="F5" s="4" t="s">
        <v>99</v>
      </c>
      <c r="G5" s="11" t="s">
        <v>146</v>
      </c>
    </row>
    <row r="6" customFormat="false" ht="15" hidden="false" customHeight="false" outlineLevel="0" collapsed="false">
      <c r="A6" s="4" t="n">
        <v>5</v>
      </c>
      <c r="B6" s="4" t="s">
        <v>84</v>
      </c>
      <c r="C6" s="11" t="s">
        <v>147</v>
      </c>
      <c r="D6" s="4" t="s">
        <v>69</v>
      </c>
      <c r="E6" s="11" t="s">
        <v>148</v>
      </c>
      <c r="F6" s="4" t="s">
        <v>65</v>
      </c>
      <c r="G6" s="11" t="s">
        <v>149</v>
      </c>
    </row>
    <row r="7" customFormat="false" ht="15" hidden="false" customHeight="false" outlineLevel="0" collapsed="false">
      <c r="A7" s="4" t="n">
        <v>6</v>
      </c>
      <c r="B7" s="4" t="s">
        <v>77</v>
      </c>
      <c r="C7" s="11" t="s">
        <v>150</v>
      </c>
      <c r="D7" s="4" t="s">
        <v>81</v>
      </c>
      <c r="E7" s="11" t="s">
        <v>143</v>
      </c>
      <c r="F7" s="4" t="s">
        <v>86</v>
      </c>
      <c r="G7" s="11" t="s">
        <v>151</v>
      </c>
    </row>
    <row r="8" customFormat="false" ht="15" hidden="false" customHeight="false" outlineLevel="0" collapsed="false">
      <c r="A8" s="4" t="n">
        <v>7</v>
      </c>
      <c r="B8" s="4" t="s">
        <v>105</v>
      </c>
      <c r="C8" s="11" t="s">
        <v>152</v>
      </c>
      <c r="D8" s="4" t="s">
        <v>74</v>
      </c>
      <c r="E8" s="11" t="s">
        <v>153</v>
      </c>
      <c r="F8" s="4" t="s">
        <v>57</v>
      </c>
      <c r="G8" s="11" t="s">
        <v>136</v>
      </c>
    </row>
    <row r="9" customFormat="false" ht="15" hidden="false" customHeight="false" outlineLevel="0" collapsed="false">
      <c r="A9" s="4" t="n">
        <v>8</v>
      </c>
      <c r="B9" s="4" t="s">
        <v>111</v>
      </c>
      <c r="C9" s="11" t="s">
        <v>139</v>
      </c>
      <c r="D9" s="4" t="s">
        <v>78</v>
      </c>
      <c r="E9" s="11" t="s">
        <v>154</v>
      </c>
      <c r="F9" s="4" t="s">
        <v>90</v>
      </c>
      <c r="G9" s="11" t="s">
        <v>155</v>
      </c>
    </row>
    <row r="10" customFormat="false" ht="15" hidden="false" customHeight="false" outlineLevel="0" collapsed="false">
      <c r="A10" s="4" t="n">
        <v>9</v>
      </c>
      <c r="B10" s="4" t="s">
        <v>69</v>
      </c>
      <c r="C10" s="11" t="s">
        <v>148</v>
      </c>
      <c r="D10" s="4" t="s">
        <v>51</v>
      </c>
      <c r="E10" s="11" t="s">
        <v>156</v>
      </c>
      <c r="F10" s="4" t="s">
        <v>57</v>
      </c>
      <c r="G10" s="11" t="s">
        <v>136</v>
      </c>
    </row>
    <row r="11" customFormat="false" ht="15" hidden="false" customHeight="false" outlineLevel="0" collapsed="false">
      <c r="A11" s="4" t="n">
        <v>10</v>
      </c>
      <c r="B11" s="4" t="s">
        <v>49</v>
      </c>
      <c r="C11" s="11" t="s">
        <v>144</v>
      </c>
      <c r="D11" s="4" t="s">
        <v>65</v>
      </c>
      <c r="E11" s="11" t="s">
        <v>149</v>
      </c>
      <c r="F11" s="4" t="s">
        <v>99</v>
      </c>
      <c r="G11" s="11" t="s">
        <v>146</v>
      </c>
    </row>
    <row r="12" customFormat="false" ht="15" hidden="false" customHeight="false" outlineLevel="0" collapsed="false">
      <c r="A12" s="4" t="n">
        <v>11</v>
      </c>
      <c r="B12" s="4" t="s">
        <v>116</v>
      </c>
      <c r="C12" s="11" t="s">
        <v>138</v>
      </c>
      <c r="D12" s="4" t="s">
        <v>86</v>
      </c>
      <c r="E12" s="11" t="s">
        <v>151</v>
      </c>
      <c r="F12" s="4" t="s">
        <v>45</v>
      </c>
      <c r="G12" s="11" t="s">
        <v>140</v>
      </c>
    </row>
    <row r="13" customFormat="false" ht="15" hidden="false" customHeight="false" outlineLevel="0" collapsed="false">
      <c r="A13" s="4" t="n">
        <v>12</v>
      </c>
      <c r="B13" s="4" t="s">
        <v>87</v>
      </c>
      <c r="C13" s="11" t="s">
        <v>157</v>
      </c>
      <c r="D13" s="4" t="s">
        <v>49</v>
      </c>
      <c r="E13" s="11" t="s">
        <v>144</v>
      </c>
      <c r="F13" s="4" t="s">
        <v>54</v>
      </c>
      <c r="G13" s="11" t="s">
        <v>158</v>
      </c>
    </row>
    <row r="14" customFormat="false" ht="15" hidden="false" customHeight="false" outlineLevel="0" collapsed="false">
      <c r="A14" s="4" t="n">
        <v>13</v>
      </c>
      <c r="B14" s="4" t="s">
        <v>86</v>
      </c>
      <c r="C14" s="11" t="s">
        <v>151</v>
      </c>
      <c r="D14" s="4" t="s">
        <v>94</v>
      </c>
      <c r="E14" s="11" t="s">
        <v>159</v>
      </c>
      <c r="F14" s="4" t="s">
        <v>71</v>
      </c>
      <c r="G14" s="11" t="s">
        <v>160</v>
      </c>
    </row>
    <row r="15" customFormat="false" ht="15" hidden="false" customHeight="false" outlineLevel="0" collapsed="false">
      <c r="A15" s="4" t="n">
        <v>14</v>
      </c>
      <c r="B15" s="4" t="s">
        <v>69</v>
      </c>
      <c r="C15" s="11" t="s">
        <v>148</v>
      </c>
      <c r="D15" s="4" t="s">
        <v>47</v>
      </c>
      <c r="E15" s="11" t="s">
        <v>161</v>
      </c>
      <c r="F15" s="4" t="s">
        <v>99</v>
      </c>
      <c r="G15" s="11" t="s">
        <v>146</v>
      </c>
    </row>
    <row r="16" customFormat="false" ht="15" hidden="false" customHeight="false" outlineLevel="0" collapsed="false">
      <c r="A16" s="4" t="n">
        <v>15</v>
      </c>
      <c r="B16" s="4" t="s">
        <v>80</v>
      </c>
      <c r="C16" s="11" t="s">
        <v>137</v>
      </c>
      <c r="D16" s="4" t="s">
        <v>96</v>
      </c>
      <c r="E16" s="11" t="s">
        <v>162</v>
      </c>
      <c r="F16" s="4" t="s">
        <v>71</v>
      </c>
      <c r="G16" s="11" t="s">
        <v>160</v>
      </c>
    </row>
    <row r="17" customFormat="false" ht="15" hidden="false" customHeight="false" outlineLevel="0" collapsed="false">
      <c r="A17" s="4" t="n">
        <v>16</v>
      </c>
      <c r="B17" s="4" t="s">
        <v>63</v>
      </c>
      <c r="C17" s="11" t="s">
        <v>163</v>
      </c>
      <c r="D17" s="4" t="s">
        <v>118</v>
      </c>
      <c r="E17" s="11" t="s">
        <v>164</v>
      </c>
      <c r="F17" s="4" t="s">
        <v>105</v>
      </c>
      <c r="G17" s="11" t="s">
        <v>152</v>
      </c>
    </row>
    <row r="18" customFormat="false" ht="15" hidden="false" customHeight="false" outlineLevel="0" collapsed="false">
      <c r="A18" s="4" t="n">
        <v>17</v>
      </c>
      <c r="B18" s="4" t="s">
        <v>73</v>
      </c>
      <c r="C18" s="11" t="s">
        <v>165</v>
      </c>
      <c r="D18" s="4" t="s">
        <v>61</v>
      </c>
      <c r="E18" s="11" t="s">
        <v>145</v>
      </c>
      <c r="F18" s="4" t="s">
        <v>77</v>
      </c>
      <c r="G18" s="11" t="s">
        <v>150</v>
      </c>
    </row>
    <row r="19" customFormat="false" ht="15" hidden="false" customHeight="false" outlineLevel="0" collapsed="false">
      <c r="A19" s="4" t="n">
        <v>18</v>
      </c>
      <c r="B19" s="4" t="s">
        <v>107</v>
      </c>
      <c r="C19" s="11" t="s">
        <v>166</v>
      </c>
      <c r="D19" s="4" t="s">
        <v>59</v>
      </c>
      <c r="E19" s="11" t="s">
        <v>167</v>
      </c>
      <c r="F19" s="4" t="s">
        <v>96</v>
      </c>
      <c r="G19" s="11" t="s">
        <v>162</v>
      </c>
    </row>
    <row r="20" customFormat="false" ht="15" hidden="false" customHeight="false" outlineLevel="0" collapsed="false">
      <c r="A20" s="4" t="n">
        <v>19</v>
      </c>
      <c r="B20" s="4" t="s">
        <v>74</v>
      </c>
      <c r="C20" s="11" t="s">
        <v>153</v>
      </c>
      <c r="D20" s="4" t="s">
        <v>94</v>
      </c>
      <c r="E20" s="11" t="s">
        <v>159</v>
      </c>
      <c r="F20" s="4" t="s">
        <v>103</v>
      </c>
      <c r="G20" s="11" t="s">
        <v>168</v>
      </c>
    </row>
    <row r="21" customFormat="false" ht="15" hidden="false" customHeight="false" outlineLevel="0" collapsed="false">
      <c r="A21" s="4" t="n">
        <v>20</v>
      </c>
      <c r="B21" s="4" t="s">
        <v>116</v>
      </c>
      <c r="C21" s="11" t="s">
        <v>138</v>
      </c>
      <c r="D21" s="4" t="s">
        <v>73</v>
      </c>
      <c r="E21" s="11" t="s">
        <v>165</v>
      </c>
      <c r="F21" s="4" t="s">
        <v>114</v>
      </c>
      <c r="G21" s="11" t="s">
        <v>141</v>
      </c>
    </row>
    <row r="22" customFormat="false" ht="15" hidden="false" customHeight="false" outlineLevel="0" collapsed="false">
      <c r="A22" s="4" t="n">
        <v>21</v>
      </c>
      <c r="B22" s="4" t="s">
        <v>100</v>
      </c>
      <c r="C22" s="11" t="s">
        <v>169</v>
      </c>
      <c r="D22" s="4" t="s">
        <v>47</v>
      </c>
      <c r="E22" s="11" t="s">
        <v>161</v>
      </c>
      <c r="F22" s="4" t="s">
        <v>63</v>
      </c>
      <c r="G22" s="11" t="s">
        <v>163</v>
      </c>
    </row>
    <row r="23" customFormat="false" ht="15" hidden="false" customHeight="false" outlineLevel="0" collapsed="false">
      <c r="A23" s="4" t="n">
        <v>22</v>
      </c>
      <c r="B23" s="4" t="s">
        <v>54</v>
      </c>
      <c r="C23" s="11" t="s">
        <v>158</v>
      </c>
      <c r="D23" s="4" t="s">
        <v>109</v>
      </c>
      <c r="E23" s="11" t="s">
        <v>135</v>
      </c>
      <c r="F23" s="4" t="s">
        <v>90</v>
      </c>
      <c r="G23" s="11" t="s">
        <v>155</v>
      </c>
    </row>
    <row r="24" customFormat="false" ht="15" hidden="false" customHeight="false" outlineLevel="0" collapsed="false">
      <c r="A24" s="4" t="n">
        <v>23</v>
      </c>
      <c r="B24" s="4" t="s">
        <v>111</v>
      </c>
      <c r="C24" s="11" t="s">
        <v>139</v>
      </c>
      <c r="D24" s="4" t="s">
        <v>87</v>
      </c>
      <c r="E24" s="11" t="s">
        <v>157</v>
      </c>
      <c r="F24" s="4" t="s">
        <v>100</v>
      </c>
      <c r="G24" s="11" t="s">
        <v>169</v>
      </c>
    </row>
    <row r="25" customFormat="false" ht="15" hidden="false" customHeight="false" outlineLevel="0" collapsed="false">
      <c r="A25" s="4" t="n">
        <v>24</v>
      </c>
      <c r="B25" s="4" t="s">
        <v>65</v>
      </c>
      <c r="C25" s="11" t="s">
        <v>149</v>
      </c>
      <c r="D25" s="4" t="s">
        <v>80</v>
      </c>
      <c r="E25" s="11" t="s">
        <v>137</v>
      </c>
      <c r="F25" s="4" t="s">
        <v>78</v>
      </c>
      <c r="G25" s="11" t="s">
        <v>154</v>
      </c>
    </row>
    <row r="26" customFormat="false" ht="15" hidden="false" customHeight="false" outlineLevel="0" collapsed="false">
      <c r="A26" s="4" t="n">
        <v>25</v>
      </c>
      <c r="B26" s="4" t="s">
        <v>114</v>
      </c>
      <c r="C26" s="11" t="s">
        <v>141</v>
      </c>
      <c r="D26" s="4" t="s">
        <v>118</v>
      </c>
      <c r="E26" s="11" t="s">
        <v>164</v>
      </c>
      <c r="F26" s="4" t="s">
        <v>69</v>
      </c>
      <c r="G26" s="11" t="s">
        <v>148</v>
      </c>
    </row>
    <row r="27" customFormat="false" ht="15" hidden="false" customHeight="false" outlineLevel="0" collapsed="false">
      <c r="A27" s="4" t="n">
        <v>26</v>
      </c>
      <c r="B27" s="4" t="s">
        <v>59</v>
      </c>
      <c r="C27" s="11" t="s">
        <v>167</v>
      </c>
      <c r="D27" s="4" t="s">
        <v>91</v>
      </c>
      <c r="E27" s="11" t="s">
        <v>142</v>
      </c>
      <c r="F27" s="4" t="s">
        <v>103</v>
      </c>
      <c r="G27" s="11" t="s">
        <v>168</v>
      </c>
    </row>
    <row r="28" customFormat="false" ht="15" hidden="false" customHeight="false" outlineLevel="0" collapsed="false">
      <c r="A28" s="4" t="n">
        <v>27</v>
      </c>
      <c r="B28" s="4" t="s">
        <v>47</v>
      </c>
      <c r="C28" s="11" t="s">
        <v>161</v>
      </c>
      <c r="D28" s="4" t="s">
        <v>107</v>
      </c>
      <c r="E28" s="11" t="s">
        <v>166</v>
      </c>
      <c r="F28" s="4" t="s">
        <v>69</v>
      </c>
      <c r="G28" s="11" t="s">
        <v>148</v>
      </c>
    </row>
    <row r="29" customFormat="false" ht="15" hidden="false" customHeight="false" outlineLevel="0" collapsed="false">
      <c r="A29" s="4" t="n">
        <v>28</v>
      </c>
      <c r="B29" s="4" t="s">
        <v>107</v>
      </c>
      <c r="C29" s="11" t="s">
        <v>166</v>
      </c>
      <c r="D29" s="4" t="s">
        <v>71</v>
      </c>
      <c r="E29" s="11" t="s">
        <v>160</v>
      </c>
      <c r="F29" s="4" t="s">
        <v>118</v>
      </c>
      <c r="G29" s="11" t="s">
        <v>164</v>
      </c>
    </row>
    <row r="30" customFormat="false" ht="15" hidden="false" customHeight="false" outlineLevel="0" collapsed="false">
      <c r="A30" s="4" t="n">
        <v>29</v>
      </c>
      <c r="B30" s="4" t="s">
        <v>63</v>
      </c>
      <c r="C30" s="11" t="s">
        <v>163</v>
      </c>
      <c r="D30" s="4" t="s">
        <v>69</v>
      </c>
      <c r="E30" s="11" t="s">
        <v>148</v>
      </c>
      <c r="F30" s="4" t="s">
        <v>96</v>
      </c>
      <c r="G30" s="11" t="s">
        <v>162</v>
      </c>
    </row>
    <row r="31" customFormat="false" ht="15" hidden="false" customHeight="false" outlineLevel="0" collapsed="false">
      <c r="A31" s="4" t="n">
        <v>30</v>
      </c>
      <c r="B31" s="4" t="s">
        <v>45</v>
      </c>
      <c r="C31" s="11" t="s">
        <v>140</v>
      </c>
      <c r="D31" s="4" t="s">
        <v>84</v>
      </c>
      <c r="E31" s="11" t="s">
        <v>147</v>
      </c>
      <c r="F31" s="4" t="s">
        <v>73</v>
      </c>
      <c r="G31" s="11" t="s">
        <v>165</v>
      </c>
    </row>
    <row r="32" customFormat="false" ht="15" hidden="false" customHeight="false" outlineLevel="0" collapsed="false">
      <c r="A32" s="4" t="n">
        <v>31</v>
      </c>
      <c r="B32" s="4" t="s">
        <v>87</v>
      </c>
      <c r="C32" s="11" t="s">
        <v>157</v>
      </c>
      <c r="D32" s="4" t="s">
        <v>77</v>
      </c>
      <c r="E32" s="11" t="s">
        <v>150</v>
      </c>
      <c r="F32" s="4" t="s">
        <v>74</v>
      </c>
      <c r="G32" s="11" t="s">
        <v>153</v>
      </c>
    </row>
    <row r="33" customFormat="false" ht="15" hidden="false" customHeight="false" outlineLevel="0" collapsed="false">
      <c r="A33" s="4" t="n">
        <v>32</v>
      </c>
      <c r="B33" s="4" t="s">
        <v>91</v>
      </c>
      <c r="C33" s="11" t="s">
        <v>142</v>
      </c>
      <c r="D33" s="4" t="s">
        <v>105</v>
      </c>
      <c r="E33" s="11" t="s">
        <v>152</v>
      </c>
      <c r="F33" s="4" t="s">
        <v>81</v>
      </c>
      <c r="G33" s="11" t="s">
        <v>143</v>
      </c>
    </row>
    <row r="34" customFormat="false" ht="15" hidden="false" customHeight="false" outlineLevel="0" collapsed="false">
      <c r="A34" s="4" t="n">
        <v>33</v>
      </c>
      <c r="B34" s="4" t="s">
        <v>78</v>
      </c>
      <c r="C34" s="11" t="s">
        <v>154</v>
      </c>
      <c r="D34" s="4" t="s">
        <v>51</v>
      </c>
      <c r="E34" s="11" t="s">
        <v>156</v>
      </c>
      <c r="F34" s="4" t="s">
        <v>54</v>
      </c>
      <c r="G34" s="11" t="s">
        <v>158</v>
      </c>
    </row>
    <row r="35" customFormat="false" ht="15" hidden="false" customHeight="false" outlineLevel="0" collapsed="false">
      <c r="A35" s="4" t="n">
        <v>34</v>
      </c>
      <c r="B35" s="4" t="s">
        <v>90</v>
      </c>
      <c r="C35" s="11" t="s">
        <v>155</v>
      </c>
      <c r="D35" s="4" t="s">
        <v>94</v>
      </c>
      <c r="E35" s="11" t="s">
        <v>159</v>
      </c>
      <c r="F35" s="4" t="s">
        <v>100</v>
      </c>
      <c r="G35" s="11" t="s">
        <v>169</v>
      </c>
    </row>
    <row r="36" customFormat="false" ht="15" hidden="false" customHeight="false" outlineLevel="0" collapsed="false">
      <c r="A36" s="4" t="n">
        <v>35</v>
      </c>
      <c r="B36" s="4" t="s">
        <v>61</v>
      </c>
      <c r="C36" s="11" t="s">
        <v>145</v>
      </c>
      <c r="D36" s="4" t="s">
        <v>51</v>
      </c>
      <c r="E36" s="11" t="s">
        <v>156</v>
      </c>
      <c r="F36" s="4" t="s">
        <v>103</v>
      </c>
      <c r="G36" s="11" t="s">
        <v>168</v>
      </c>
    </row>
    <row r="37" customFormat="false" ht="15" hidden="false" customHeight="false" outlineLevel="0" collapsed="false">
      <c r="A37" s="4" t="n">
        <v>36</v>
      </c>
      <c r="B37" s="4" t="s">
        <v>109</v>
      </c>
      <c r="C37" s="11" t="s">
        <v>135</v>
      </c>
      <c r="D37" s="4" t="s">
        <v>59</v>
      </c>
      <c r="E37" s="11" t="s">
        <v>167</v>
      </c>
      <c r="F37" s="4" t="s">
        <v>84</v>
      </c>
      <c r="G37" s="11" t="s">
        <v>147</v>
      </c>
    </row>
    <row r="39" customFormat="false" ht="15" hidden="false" customHeight="false" outlineLevel="0" collapsed="false">
      <c r="A39" s="12" t="s">
        <v>170</v>
      </c>
      <c r="B39" s="12"/>
      <c r="C39" s="12"/>
      <c r="D39" s="12"/>
      <c r="E39" s="12"/>
      <c r="F39" s="12"/>
      <c r="G39" s="12"/>
    </row>
  </sheetData>
  <mergeCells count="1"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2026-10-25T10:33:19Z</dcterms:created>
  <dc:creator>openpyxl</dc:creator>
  <dc:description/>
  <dc:language>en-US</dc:language>
  <cp:lastModifiedBy/>
  <dcterms:modified xsi:type="dcterms:W3CDTF">2026-10-25T10:33:19Z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